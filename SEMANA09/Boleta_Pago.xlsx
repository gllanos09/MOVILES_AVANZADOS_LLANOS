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metros" sheetId="1" state="visible" r:id="rId1"/>
    <sheet name="Boleta" sheetId="2" state="visible" r:id="rId2"/>
    <sheet name="Casos" sheetId="3" state="visible" r:id="rId3"/>
    <sheet name="Explicacion" sheetId="4" state="visible" r:id="rId4"/>
  </sheets>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2F5496"/>
      </patternFill>
    </fill>
    <fill>
      <patternFill patternType="solid">
        <fgColor rgb="00D9E2F3"/>
      </patternFill>
    </fill>
    <fill>
      <patternFill patternType="solid">
        <fgColor rgb="00FFF2CC"/>
      </patternFill>
    </fill>
  </fills>
  <borders count="2">
    <border>
      <left/>
      <right/>
      <top/>
      <bottom/>
      <diagonal/>
    </border>
    <border>
      <top style="thin"/>
    </border>
  </borders>
  <cellStyleXfs count="1">
    <xf numFmtId="0" fontId="0" fillId="0" borderId="0"/>
  </cellStyleXfs>
  <cellXfs count="22">
    <xf numFmtId="0" fontId="0" fillId="0" borderId="0" pivotButton="0" quotePrefix="0" xfId="0"/>
    <xf numFmtId="0" fontId="1" fillId="0" borderId="0" pivotButton="0" quotePrefix="0" xfId="0"/>
    <xf numFmtId="0" fontId="2" fillId="2" borderId="0" pivotButton="0" quotePrefix="0" xfId="0"/>
    <xf numFmtId="4" fontId="0" fillId="0" borderId="0" pivotButton="0" quotePrefix="0" xfId="0"/>
    <xf numFmtId="10" fontId="0" fillId="0" borderId="0" pivotButton="0" quotePrefix="0" xfId="0"/>
    <xf numFmtId="2" fontId="0" fillId="0" borderId="0" pivotButton="0" quotePrefix="0" xfId="0"/>
    <xf numFmtId="1" fontId="0" fillId="0" borderId="0" pivotButton="0" quotePrefix="0" xfId="0"/>
    <xf numFmtId="0" fontId="3" fillId="3" borderId="0" pivotButton="0" quotePrefix="0" xfId="0"/>
    <xf numFmtId="0" fontId="0" fillId="3" borderId="0" pivotButton="0" quotePrefix="0" xfId="0"/>
    <xf numFmtId="4" fontId="0" fillId="4" borderId="0" pivotButton="0" quotePrefix="0" xfId="0"/>
    <xf numFmtId="1" fontId="0" fillId="4" borderId="0" pivotButton="0" quotePrefix="0" xfId="0"/>
    <xf numFmtId="0" fontId="0" fillId="4" borderId="0" pivotButton="0" quotePrefix="0" xfId="0"/>
    <xf numFmtId="164" fontId="0" fillId="0" borderId="0" pivotButton="0" quotePrefix="0" xfId="0"/>
    <xf numFmtId="0" fontId="3" fillId="0" borderId="1" pivotButton="0" quotePrefix="0" xfId="0"/>
    <xf numFmtId="4" fontId="3" fillId="0" borderId="1" pivotButton="0" quotePrefix="0" xfId="0"/>
    <xf numFmtId="0" fontId="4" fillId="0" borderId="0" pivotButton="0" quotePrefix="0" xfId="0"/>
    <xf numFmtId="4" fontId="4" fillId="0" borderId="0" pivotButton="0" quotePrefix="0" xfId="0"/>
    <xf numFmtId="0" fontId="0" fillId="2" borderId="0" pivotButton="0" quotePrefix="0" xfId="0"/>
    <xf numFmtId="0" fontId="3" fillId="0" borderId="0" pivotButton="0" quotePrefix="0" xfId="0"/>
    <xf numFmtId="4" fontId="3"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62" customWidth="1" min="3" max="3"/>
    <col width="18" customWidth="1" min="4" max="4"/>
  </cols>
  <sheetData>
    <row r="1">
      <c r="A1" s="1" t="inlineStr">
        <is>
          <t>PARAMETROS DEL CALCULO</t>
        </is>
      </c>
    </row>
    <row r="2">
      <c r="A2" t="inlineStr">
        <is>
          <t>Ningun porcentaje se escribe dentro de una formula: todas las hojas apuntan a estas celdas.</t>
        </is>
      </c>
    </row>
    <row r="3">
      <c r="A3" s="2" t="inlineStr">
        <is>
          <t>Parametro</t>
        </is>
      </c>
      <c r="B3" s="2" t="inlineStr">
        <is>
          <t>Valor</t>
        </is>
      </c>
      <c r="C3" s="2" t="inlineStr">
        <is>
          <t>Fuente</t>
        </is>
      </c>
      <c r="D3" s="2" t="inlineStr">
        <is>
          <t>Fecha de consulta</t>
        </is>
      </c>
    </row>
    <row r="4">
      <c r="A4" t="inlineStr">
        <is>
          <t>RMV</t>
        </is>
      </c>
      <c r="B4" s="3" t="n">
        <v>1230</v>
      </c>
      <c r="C4" t="inlineStr">
        <is>
          <t>D.S. de la RMV, vigente desde el 01/10/2026</t>
        </is>
      </c>
      <c r="D4" t="inlineStr">
        <is>
          <t>29/10/2026</t>
        </is>
      </c>
    </row>
    <row r="5">
      <c r="A5" t="inlineStr">
        <is>
          <t>Tasa asignacion familiar</t>
        </is>
      </c>
      <c r="B5" s="4" t="n">
        <v>0.1</v>
      </c>
      <c r="C5" t="inlineStr">
        <is>
          <t>Ley 25129 (10% de la RMV)</t>
        </is>
      </c>
      <c r="D5" t="inlineStr">
        <is>
          <t>29/10/2026</t>
        </is>
      </c>
    </row>
    <row r="6">
      <c r="A6" t="inlineStr">
        <is>
          <t>Asignacion familiar (S/)</t>
        </is>
      </c>
      <c r="B6" s="3">
        <f>ROUND(B4*B5,2)</f>
        <v/>
      </c>
      <c r="C6" t="inlineStr">
        <is>
          <t>Calculada: RMV x 10%</t>
        </is>
      </c>
      <c r="D6" t="inlineStr">
        <is>
          <t>29/10/2026</t>
        </is>
      </c>
    </row>
    <row r="7">
      <c r="A7" t="inlineStr">
        <is>
          <t>Tasa ONP</t>
        </is>
      </c>
      <c r="B7" s="4" t="n">
        <v>0.13</v>
      </c>
      <c r="C7" t="inlineStr">
        <is>
          <t>D.L. 19990</t>
        </is>
      </c>
      <c r="D7" t="inlineStr">
        <is>
          <t>29/10/2026</t>
        </is>
      </c>
    </row>
    <row r="8">
      <c r="A8" t="inlineStr">
        <is>
          <t>Tasa EsSalud</t>
        </is>
      </c>
      <c r="B8" s="4" t="n">
        <v>0.09</v>
      </c>
      <c r="C8" t="inlineStr">
        <is>
          <t>Ley 26790 (la paga el empleador)</t>
        </is>
      </c>
      <c r="D8" t="inlineStr">
        <is>
          <t>29/10/2026</t>
        </is>
      </c>
    </row>
    <row r="9">
      <c r="A9" t="inlineStr">
        <is>
          <t>Factor horas extras 25%</t>
        </is>
      </c>
      <c r="B9" s="5" t="n">
        <v>1.25</v>
      </c>
      <c r="C9" t="inlineStr">
        <is>
          <t>Normas de jornada y sobretiempo</t>
        </is>
      </c>
      <c r="D9" t="inlineStr">
        <is>
          <t>29/10/2026</t>
        </is>
      </c>
    </row>
    <row r="10">
      <c r="A10" t="inlineStr">
        <is>
          <t>Factor horas extras 35%</t>
        </is>
      </c>
      <c r="B10" s="5" t="n">
        <v>1.35</v>
      </c>
      <c r="C10" t="inlineStr">
        <is>
          <t>Normas de jornada y sobretiempo</t>
        </is>
      </c>
      <c r="D10" t="inlineStr">
        <is>
          <t>29/10/2026</t>
        </is>
      </c>
    </row>
    <row r="11">
      <c r="A11" t="inlineStr">
        <is>
          <t>Dias del mes</t>
        </is>
      </c>
      <c r="B11" s="6" t="n">
        <v>30</v>
      </c>
      <c r="C11" t="inlineStr">
        <is>
          <t>Divisor legal para el sueldo diario</t>
        </is>
      </c>
      <c r="D11" t="inlineStr">
        <is>
          <t>29/10/2026</t>
        </is>
      </c>
    </row>
    <row r="12">
      <c r="A12" t="inlineStr">
        <is>
          <t>Horas de jornada</t>
        </is>
      </c>
      <c r="B12" s="6" t="n">
        <v>8</v>
      </c>
      <c r="C12" t="inlineStr">
        <is>
          <t>Divisor legal para el valor hora</t>
        </is>
      </c>
      <c r="D12" t="inlineStr">
        <is>
          <t>29/10/2026</t>
        </is>
      </c>
    </row>
    <row r="13">
      <c r="A13" s="7" t="inlineStr">
        <is>
          <t>AFP Ejemplo (valores de prueba del enunciado)</t>
        </is>
      </c>
    </row>
    <row r="14">
      <c r="A14" t="inlineStr">
        <is>
          <t>AFP Ejemplo - fondo</t>
        </is>
      </c>
      <c r="B14" s="4" t="n">
        <v>0.1</v>
      </c>
      <c r="C14" t="inlineStr">
        <is>
          <t>Valores de prueba. Con datos reales, usar los publicados por la SBS</t>
        </is>
      </c>
      <c r="D14" t="inlineStr">
        <is>
          <t>29/10/2026</t>
        </is>
      </c>
    </row>
    <row r="15">
      <c r="A15" t="inlineStr">
        <is>
          <t>AFP Ejemplo - comision</t>
        </is>
      </c>
      <c r="B15" s="4" t="n">
        <v>0.016</v>
      </c>
      <c r="C15" t="inlineStr">
        <is>
          <t>Valores de prueba. Con datos reales, usar los publicados por la SBS</t>
        </is>
      </c>
      <c r="D15" t="inlineStr">
        <is>
          <t>29/10/2026</t>
        </is>
      </c>
    </row>
    <row r="16">
      <c r="A16" t="inlineStr">
        <is>
          <t>AFP Ejemplo - seguro</t>
        </is>
      </c>
      <c r="B16" s="4" t="n">
        <v>0.0135</v>
      </c>
      <c r="C16" t="inlineStr">
        <is>
          <t>Valores de prueba. Con datos reales, usar los publicados por la SBS</t>
        </is>
      </c>
      <c r="D16" t="inlineStr">
        <is>
          <t>29/10/2026</t>
        </is>
      </c>
    </row>
    <row r="19">
      <c r="A19" s="7" t="inlineStr">
        <is>
          <t>CONVENCIONES DE REDONDEO</t>
        </is>
      </c>
    </row>
    <row r="20">
      <c r="A20" t="inlineStr">
        <is>
          <t>Cada concepto se redondea a 2 decimales con ROUND() y luego se suman.</t>
        </is>
      </c>
    </row>
    <row r="21">
      <c r="A21" t="inlineStr">
        <is>
          <t>Los intermedios (valor hora, sueldo diario) NO se redondean.</t>
        </is>
      </c>
    </row>
    <row r="22">
      <c r="A22" t="inlineStr">
        <is>
          <t>ROUND() redondea medio hacia arriba: 0.005 sube.</t>
        </is>
      </c>
    </row>
    <row r="23">
      <c r="A23" t="inlineStr">
        <is>
          <t>El valor hora sale del SUELDO BASICO, no del sueldo computable.</t>
        </is>
      </c>
    </row>
    <row r="24">
      <c r="A24" t="inlineStr">
        <is>
          <t>La asignacion familiar es un monto fijo: no se prorratea por dias laborados.</t>
        </is>
      </c>
    </row>
    <row r="25">
      <c r="A25" t="inlineStr">
        <is>
          <t>EsSalud lo paga el empleador: nunca se resta del neto del trabajador.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6" customWidth="1" min="1" max="1"/>
    <col width="16" customWidth="1" min="2" max="2"/>
  </cols>
  <sheetData>
    <row r="1">
      <c r="A1" s="1" t="inlineStr">
        <is>
          <t>BOLETA DE EJEMPLO</t>
        </is>
      </c>
    </row>
    <row r="2">
      <c r="A2" t="inlineStr">
        <is>
          <t>Cambia solo las celdas amarillas. Todo lo demas son formulas.</t>
        </is>
      </c>
    </row>
    <row r="3">
      <c r="A3" s="7" t="inlineStr">
        <is>
          <t>DATOS DE ENTRADA</t>
        </is>
      </c>
      <c r="B3" s="8" t="n"/>
    </row>
    <row r="4">
      <c r="A4" t="inlineStr">
        <is>
          <t>Sueldo basico (S/)</t>
        </is>
      </c>
      <c r="B4" s="9" t="n">
        <v>3000</v>
      </c>
    </row>
    <row r="5">
      <c r="A5" t="inlineStr">
        <is>
          <t>Dias laborados (1 a 30)</t>
        </is>
      </c>
      <c r="B5" s="10" t="n">
        <v>30</v>
      </c>
    </row>
    <row r="6">
      <c r="A6" t="inlineStr">
        <is>
          <t>Tiene hijos (SI / NO)</t>
        </is>
      </c>
      <c r="B6" s="11" t="inlineStr">
        <is>
          <t>SI</t>
        </is>
      </c>
    </row>
    <row r="7">
      <c r="A7" t="inlineStr">
        <is>
          <t>Sistema de pensiones (ONP / AFP)</t>
        </is>
      </c>
      <c r="B7" s="11" t="inlineStr">
        <is>
          <t>AFP</t>
        </is>
      </c>
    </row>
    <row r="8">
      <c r="A8" t="inlineStr">
        <is>
          <t>Horas extras al 25%</t>
        </is>
      </c>
      <c r="B8" s="10" t="n">
        <v>4</v>
      </c>
    </row>
    <row r="9">
      <c r="A9" t="inlineStr">
        <is>
          <t>Horas extras al 35%</t>
        </is>
      </c>
      <c r="B9" s="10" t="n">
        <v>4</v>
      </c>
    </row>
    <row r="10">
      <c r="A10" t="inlineStr">
        <is>
          <t>Adelantos (S/)</t>
        </is>
      </c>
      <c r="B10" s="9" t="n">
        <v>200</v>
      </c>
    </row>
    <row r="12">
      <c r="A12" t="inlineStr">
        <is>
          <t>Valor hora (intermedio, sin redondear)</t>
        </is>
      </c>
      <c r="B12" s="12">
        <f>B4/Parametros!$B$11/Parametros!$B$12</f>
        <v/>
      </c>
    </row>
    <row r="14">
      <c r="A14" s="7" t="inlineStr">
        <is>
          <t>REMUNERACIONES</t>
        </is>
      </c>
      <c r="B14" s="8" t="n"/>
    </row>
    <row r="15">
      <c r="A15" t="inlineStr">
        <is>
          <t>Sueldo computable</t>
        </is>
      </c>
      <c r="B15" s="3">
        <f>ROUND(B4/Parametros!$B$11*B5,2)</f>
        <v/>
      </c>
    </row>
    <row r="16">
      <c r="A16" t="inlineStr">
        <is>
          <t>Asignacion familiar</t>
        </is>
      </c>
      <c r="B16" s="3">
        <f>IF(UPPER(B6)="SI",Parametros!$B$6,0)</f>
        <v/>
      </c>
    </row>
    <row r="17">
      <c r="A17" t="inlineStr">
        <is>
          <t>Horas extras 25%</t>
        </is>
      </c>
      <c r="B17" s="3">
        <f>ROUND($B$12*Parametros!$B$9*B8,2)</f>
        <v/>
      </c>
    </row>
    <row r="18">
      <c r="A18" t="inlineStr">
        <is>
          <t>Horas extras 35%</t>
        </is>
      </c>
      <c r="B18" s="3">
        <f>ROUND($B$12*Parametros!$B$10*B9,2)</f>
        <v/>
      </c>
    </row>
    <row r="19">
      <c r="A19" s="13" t="inlineStr">
        <is>
          <t>Total remuneraciones</t>
        </is>
      </c>
      <c r="B19" s="14">
        <f>SUM(B15:B18)</f>
        <v/>
      </c>
    </row>
    <row r="21">
      <c r="A21" s="7" t="inlineStr">
        <is>
          <t>RETENCIONES / DESCUENTOS</t>
        </is>
      </c>
      <c r="B21" s="8" t="n"/>
    </row>
    <row r="22">
      <c r="A22" t="inlineStr">
        <is>
          <t>ONP</t>
        </is>
      </c>
      <c r="B22" s="3">
        <f>IF(UPPER(B7)="ONP",ROUND($B$19*Parametros!$B$7,2),0)</f>
        <v/>
      </c>
    </row>
    <row r="23">
      <c r="A23" t="inlineStr">
        <is>
          <t>AFP fondo</t>
        </is>
      </c>
      <c r="B23" s="3">
        <f>IF(UPPER(B7)="AFP",ROUND($B$19*Parametros!$B$14,2),0)</f>
        <v/>
      </c>
    </row>
    <row r="24">
      <c r="A24" t="inlineStr">
        <is>
          <t>AFP comision</t>
        </is>
      </c>
      <c r="B24" s="3">
        <f>IF(UPPER(B7)="AFP",ROUND($B$19*Parametros!$B$15,2),0)</f>
        <v/>
      </c>
    </row>
    <row r="25">
      <c r="A25" t="inlineStr">
        <is>
          <t>AFP seguro</t>
        </is>
      </c>
      <c r="B25" s="3">
        <f>IF(UPPER(B7)="AFP",ROUND($B$19*Parametros!$B$16,2),0)</f>
        <v/>
      </c>
    </row>
    <row r="26">
      <c r="A26" t="inlineStr">
        <is>
          <t>Adelantos</t>
        </is>
      </c>
      <c r="B26" s="3">
        <f>ROUND(B10,2)</f>
        <v/>
      </c>
    </row>
    <row r="27">
      <c r="A27" s="13" t="inlineStr">
        <is>
          <t>Total descuentos</t>
        </is>
      </c>
      <c r="B27" s="14">
        <f>SUM(B22:B26)</f>
        <v/>
      </c>
    </row>
    <row r="29">
      <c r="A29" s="15" t="inlineStr">
        <is>
          <t>NETO A PAGAR</t>
        </is>
      </c>
      <c r="B29" s="16">
        <f>B19-B27</f>
        <v/>
      </c>
    </row>
    <row r="31">
      <c r="A31" s="7" t="inlineStr">
        <is>
          <t>APORTACIONES DEL EMPLEADOR</t>
        </is>
      </c>
      <c r="B31" s="8" t="n"/>
    </row>
    <row r="32">
      <c r="A32" t="inlineStr">
        <is>
          <t>EsSalud (9%)</t>
        </is>
      </c>
      <c r="B32" s="3">
        <f>ROUND($B$19*Parametros!$B$8,2)</f>
        <v/>
      </c>
    </row>
    <row r="33">
      <c r="A33" t="inlineStr">
        <is>
          <t>No se descuenta al trabajador: es costo del empleador.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4" customWidth="1" min="3" max="3"/>
    <col width="14" customWidth="1" min="4" max="4"/>
    <col width="14" customWidth="1" min="5" max="5"/>
  </cols>
  <sheetData>
    <row r="1">
      <c r="A1" s="1" t="inlineStr">
        <is>
          <t>CASOS DE PRUEBA</t>
        </is>
      </c>
    </row>
    <row r="2">
      <c r="A2" t="inlineStr">
        <is>
          <t>La fila Diferencia debe dar 0.00 en los cuatro casos: ese es el control cruzado contra la app.</t>
        </is>
      </c>
    </row>
    <row r="3">
      <c r="A3" s="17" t="n"/>
      <c r="B3" s="2" t="inlineStr">
        <is>
          <t>Caso 1</t>
        </is>
      </c>
      <c r="C3" s="2" t="inlineStr">
        <is>
          <t>Caso 2</t>
        </is>
      </c>
      <c r="D3" s="2" t="inlineStr">
        <is>
          <t>Caso 3</t>
        </is>
      </c>
      <c r="E3" s="2" t="inlineStr">
        <is>
          <t>Caso 4</t>
        </is>
      </c>
    </row>
    <row r="4">
      <c r="A4" t="inlineStr">
        <is>
          <t>Sueldo basico</t>
        </is>
      </c>
      <c r="B4" s="9" t="n">
        <v>2500</v>
      </c>
      <c r="C4" s="9" t="n">
        <v>1800</v>
      </c>
      <c r="D4" s="9" t="n">
        <v>3000</v>
      </c>
      <c r="E4" s="9" t="n">
        <v>4200</v>
      </c>
    </row>
    <row r="5">
      <c r="A5" t="inlineStr">
        <is>
          <t>Dias laborados</t>
        </is>
      </c>
      <c r="B5" s="10" t="n">
        <v>30</v>
      </c>
      <c r="C5" s="10" t="n">
        <v>27</v>
      </c>
      <c r="D5" s="10" t="n">
        <v>30</v>
      </c>
      <c r="E5" s="10" t="n">
        <v>24</v>
      </c>
    </row>
    <row r="6">
      <c r="A6" t="inlineStr">
        <is>
          <t>Tiene hijos</t>
        </is>
      </c>
      <c r="B6" s="11" t="inlineStr">
        <is>
          <t>NO</t>
        </is>
      </c>
      <c r="C6" s="11" t="inlineStr">
        <is>
          <t>SI</t>
        </is>
      </c>
      <c r="D6" s="11" t="inlineStr">
        <is>
          <t>SI</t>
        </is>
      </c>
      <c r="E6" s="11" t="inlineStr">
        <is>
          <t>SI</t>
        </is>
      </c>
    </row>
    <row r="7">
      <c r="A7" t="inlineStr">
        <is>
          <t>Sistema</t>
        </is>
      </c>
      <c r="B7" s="11" t="inlineStr">
        <is>
          <t>ONP</t>
        </is>
      </c>
      <c r="C7" s="11" t="inlineStr">
        <is>
          <t>ONP</t>
        </is>
      </c>
      <c r="D7" s="11" t="inlineStr">
        <is>
          <t>AFP</t>
        </is>
      </c>
      <c r="E7" s="11" t="inlineStr">
        <is>
          <t>AFP</t>
        </is>
      </c>
    </row>
    <row r="8">
      <c r="A8" t="inlineStr">
        <is>
          <t>Horas extras 25%</t>
        </is>
      </c>
      <c r="B8" s="10" t="n">
        <v>0</v>
      </c>
      <c r="C8" s="10" t="n">
        <v>0</v>
      </c>
      <c r="D8" s="10" t="n">
        <v>4</v>
      </c>
      <c r="E8" s="10" t="n">
        <v>2</v>
      </c>
    </row>
    <row r="9">
      <c r="A9" t="inlineStr">
        <is>
          <t>Horas extras 35%</t>
        </is>
      </c>
      <c r="B9" s="10" t="n">
        <v>0</v>
      </c>
      <c r="C9" s="10" t="n">
        <v>0</v>
      </c>
      <c r="D9" s="10" t="n">
        <v>4</v>
      </c>
      <c r="E9" s="10" t="n">
        <v>2</v>
      </c>
    </row>
    <row r="10">
      <c r="A10" t="inlineStr">
        <is>
          <t>Adelantos</t>
        </is>
      </c>
      <c r="B10" s="9" t="n">
        <v>0</v>
      </c>
      <c r="C10" s="9" t="n">
        <v>0</v>
      </c>
      <c r="D10" s="9" t="n">
        <v>200</v>
      </c>
      <c r="E10" s="9" t="n">
        <v>100</v>
      </c>
    </row>
    <row r="12">
      <c r="A12" t="inlineStr">
        <is>
          <t>Valor hora</t>
        </is>
      </c>
      <c r="B12" s="12">
        <f>B4/Parametros!$B$11/Parametros!$B$12</f>
        <v/>
      </c>
      <c r="C12" s="12">
        <f>C4/Parametros!$B$11/Parametros!$B$12</f>
        <v/>
      </c>
      <c r="D12" s="12">
        <f>D4/Parametros!$B$11/Parametros!$B$12</f>
        <v/>
      </c>
      <c r="E12" s="12">
        <f>E4/Parametros!$B$11/Parametros!$B$12</f>
        <v/>
      </c>
    </row>
    <row r="13">
      <c r="A13" t="inlineStr">
        <is>
          <t>Sueldo computable</t>
        </is>
      </c>
      <c r="B13" s="3">
        <f>ROUND(B4/Parametros!$B$11*B5,2)</f>
        <v/>
      </c>
      <c r="C13" s="3">
        <f>ROUND(C4/Parametros!$B$11*C5,2)</f>
        <v/>
      </c>
      <c r="D13" s="3">
        <f>ROUND(D4/Parametros!$B$11*D5,2)</f>
        <v/>
      </c>
      <c r="E13" s="3">
        <f>ROUND(E4/Parametros!$B$11*E5,2)</f>
        <v/>
      </c>
    </row>
    <row r="14">
      <c r="A14" t="inlineStr">
        <is>
          <t>Asignacion familiar</t>
        </is>
      </c>
      <c r="B14" s="3">
        <f>IF(UPPER(B6)="SI",Parametros!$B$6,0)</f>
        <v/>
      </c>
      <c r="C14" s="3">
        <f>IF(UPPER(C6)="SI",Parametros!$B$6,0)</f>
        <v/>
      </c>
      <c r="D14" s="3">
        <f>IF(UPPER(D6)="SI",Parametros!$B$6,0)</f>
        <v/>
      </c>
      <c r="E14" s="3">
        <f>IF(UPPER(E6)="SI",Parametros!$B$6,0)</f>
        <v/>
      </c>
    </row>
    <row r="15">
      <c r="A15" t="inlineStr">
        <is>
          <t>Horas extras 25%</t>
        </is>
      </c>
      <c r="B15" s="3">
        <f>ROUND(B$12*Parametros!$B$9*B8,2)</f>
        <v/>
      </c>
      <c r="C15" s="3">
        <f>ROUND(C$12*Parametros!$B$9*C8,2)</f>
        <v/>
      </c>
      <c r="D15" s="3">
        <f>ROUND(D$12*Parametros!$B$9*D8,2)</f>
        <v/>
      </c>
      <c r="E15" s="3">
        <f>ROUND(E$12*Parametros!$B$9*E8,2)</f>
        <v/>
      </c>
    </row>
    <row r="16">
      <c r="A16" t="inlineStr">
        <is>
          <t>Horas extras 35%</t>
        </is>
      </c>
      <c r="B16" s="3">
        <f>ROUND(B$12*Parametros!$B$10*B9,2)</f>
        <v/>
      </c>
      <c r="C16" s="3">
        <f>ROUND(C$12*Parametros!$B$10*C9,2)</f>
        <v/>
      </c>
      <c r="D16" s="3">
        <f>ROUND(D$12*Parametros!$B$10*D9,2)</f>
        <v/>
      </c>
      <c r="E16" s="3">
        <f>ROUND(E$12*Parametros!$B$10*E9,2)</f>
        <v/>
      </c>
    </row>
    <row r="17">
      <c r="A17" s="18" t="inlineStr">
        <is>
          <t>Total remuneraciones</t>
        </is>
      </c>
      <c r="B17" s="19">
        <f>SUM(B13:B16)</f>
        <v/>
      </c>
      <c r="C17" s="19">
        <f>SUM(C13:C16)</f>
        <v/>
      </c>
      <c r="D17" s="19">
        <f>SUM(D13:D16)</f>
        <v/>
      </c>
      <c r="E17" s="19">
        <f>SUM(E13:E16)</f>
        <v/>
      </c>
    </row>
    <row r="18">
      <c r="A18" t="inlineStr">
        <is>
          <t>ONP</t>
        </is>
      </c>
      <c r="B18" s="3">
        <f>IF(UPPER(B7)="ONP",ROUND(B$17*Parametros!$B$7,2),0)</f>
        <v/>
      </c>
      <c r="C18" s="3">
        <f>IF(UPPER(C7)="ONP",ROUND(C$17*Parametros!$B$7,2),0)</f>
        <v/>
      </c>
      <c r="D18" s="3">
        <f>IF(UPPER(D7)="ONP",ROUND(D$17*Parametros!$B$7,2),0)</f>
        <v/>
      </c>
      <c r="E18" s="3">
        <f>IF(UPPER(E7)="ONP",ROUND(E$17*Parametros!$B$7,2),0)</f>
        <v/>
      </c>
    </row>
    <row r="19">
      <c r="A19" t="inlineStr">
        <is>
          <t>AFP fondo</t>
        </is>
      </c>
      <c r="B19" s="3">
        <f>IF(UPPER(B7)="AFP",ROUND(B$17*Parametros!$B$14,2),0)</f>
        <v/>
      </c>
      <c r="C19" s="3">
        <f>IF(UPPER(C7)="AFP",ROUND(C$17*Parametros!$B$14,2),0)</f>
        <v/>
      </c>
      <c r="D19" s="3">
        <f>IF(UPPER(D7)="AFP",ROUND(D$17*Parametros!$B$14,2),0)</f>
        <v/>
      </c>
      <c r="E19" s="3">
        <f>IF(UPPER(E7)="AFP",ROUND(E$17*Parametros!$B$14,2),0)</f>
        <v/>
      </c>
    </row>
    <row r="20">
      <c r="A20" t="inlineStr">
        <is>
          <t>AFP comision</t>
        </is>
      </c>
      <c r="B20" s="3">
        <f>IF(UPPER(B7)="AFP",ROUND(B$17*Parametros!$B$15,2),0)</f>
        <v/>
      </c>
      <c r="C20" s="3">
        <f>IF(UPPER(C7)="AFP",ROUND(C$17*Parametros!$B$15,2),0)</f>
        <v/>
      </c>
      <c r="D20" s="3">
        <f>IF(UPPER(D7)="AFP",ROUND(D$17*Parametros!$B$15,2),0)</f>
        <v/>
      </c>
      <c r="E20" s="3">
        <f>IF(UPPER(E7)="AFP",ROUND(E$17*Parametros!$B$15,2),0)</f>
        <v/>
      </c>
    </row>
    <row r="21">
      <c r="A21" t="inlineStr">
        <is>
          <t>AFP seguro</t>
        </is>
      </c>
      <c r="B21" s="3">
        <f>IF(UPPER(B7)="AFP",ROUND(B$17*Parametros!$B$16,2),0)</f>
        <v/>
      </c>
      <c r="C21" s="3">
        <f>IF(UPPER(C7)="AFP",ROUND(C$17*Parametros!$B$16,2),0)</f>
        <v/>
      </c>
      <c r="D21" s="3">
        <f>IF(UPPER(D7)="AFP",ROUND(D$17*Parametros!$B$16,2),0)</f>
        <v/>
      </c>
      <c r="E21" s="3">
        <f>IF(UPPER(E7)="AFP",ROUND(E$17*Parametros!$B$16,2),0)</f>
        <v/>
      </c>
    </row>
    <row r="22">
      <c r="A22" t="inlineStr">
        <is>
          <t>Adelantos</t>
        </is>
      </c>
      <c r="B22" s="3">
        <f>ROUND(B10,2)</f>
        <v/>
      </c>
      <c r="C22" s="3">
        <f>ROUND(C10,2)</f>
        <v/>
      </c>
      <c r="D22" s="3">
        <f>ROUND(D10,2)</f>
        <v/>
      </c>
      <c r="E22" s="3">
        <f>ROUND(E10,2)</f>
        <v/>
      </c>
    </row>
    <row r="23">
      <c r="A23" s="18" t="inlineStr">
        <is>
          <t>Total descuentos</t>
        </is>
      </c>
      <c r="B23" s="19">
        <f>SUM(B18:B22)</f>
        <v/>
      </c>
      <c r="C23" s="19">
        <f>SUM(C18:C22)</f>
        <v/>
      </c>
      <c r="D23" s="19">
        <f>SUM(D18:D22)</f>
        <v/>
      </c>
      <c r="E23" s="19">
        <f>SUM(E18:E22)</f>
        <v/>
      </c>
    </row>
    <row r="24">
      <c r="A24" s="18" t="inlineStr">
        <is>
          <t>NETO A PAGAR</t>
        </is>
      </c>
      <c r="B24" s="19">
        <f>B17-B23</f>
        <v/>
      </c>
      <c r="C24" s="19">
        <f>C17-C23</f>
        <v/>
      </c>
      <c r="D24" s="19">
        <f>D17-D23</f>
        <v/>
      </c>
      <c r="E24" s="19">
        <f>E17-E23</f>
        <v/>
      </c>
    </row>
    <row r="25">
      <c r="A25" t="inlineStr">
        <is>
          <t>EsSalud (empleador)</t>
        </is>
      </c>
      <c r="B25" s="3">
        <f>ROUND(B$17*Parametros!$B$8,2)</f>
        <v/>
      </c>
      <c r="C25" s="3">
        <f>ROUND(C$17*Parametros!$B$8,2)</f>
        <v/>
      </c>
      <c r="D25" s="3">
        <f>ROUND(D$17*Parametros!$B$8,2)</f>
        <v/>
      </c>
      <c r="E25" s="3">
        <f>ROUND(E$17*Parametros!$B$8,2)</f>
        <v/>
      </c>
    </row>
    <row r="27">
      <c r="A27" s="7" t="inlineStr">
        <is>
          <t>CONTROL CRUZADO</t>
        </is>
      </c>
      <c r="B27" s="8" t="n"/>
      <c r="C27" s="8" t="n"/>
      <c r="D27" s="8" t="n"/>
      <c r="E27" s="8" t="n"/>
    </row>
    <row r="28">
      <c r="A28" t="inlineStr">
        <is>
          <t>Neto esperado</t>
        </is>
      </c>
      <c r="B28" s="3" t="n">
        <v>2175</v>
      </c>
      <c r="C28" s="3" t="n">
        <v>1516.41</v>
      </c>
      <c r="D28" s="3" t="n">
        <v>2631.73</v>
      </c>
      <c r="E28" s="3" t="n">
        <v>3011.17</v>
      </c>
    </row>
    <row r="29">
      <c r="A29" s="18" t="inlineStr">
        <is>
          <t>Diferencia (debe ser 0.00)</t>
        </is>
      </c>
      <c r="B29" s="19">
        <f>ROUND(B24-B28,2)</f>
        <v/>
      </c>
      <c r="C29" s="19">
        <f>ROUND(C24-C28,2)</f>
        <v/>
      </c>
      <c r="D29" s="19">
        <f>ROUND(D24-D28,2)</f>
        <v/>
      </c>
      <c r="E29" s="19">
        <f>ROUND(E24-E28,2)</f>
        <v/>
      </c>
    </row>
    <row r="31">
      <c r="A31" t="inlineStr">
        <is>
          <t>Casos 1, 2 y 3: el neto esperado viene con respuesta en el enunciado.</t>
        </is>
      </c>
    </row>
    <row r="32">
      <c r="A32" t="inlineStr">
        <is>
          <t>Caso 4: no trae respuesta oficial, lo evalua el docente. El valor de la fila 28 es el que produce la app.</t>
        </is>
      </c>
    </row>
    <row r="34">
      <c r="A34" s="7" t="inlineStr">
        <is>
          <t>CASO PROPIO (sueldo de una oferta laboral real)</t>
        </is>
      </c>
    </row>
    <row r="35">
      <c r="A35" t="inlineStr">
        <is>
          <t>Alumno</t>
        </is>
      </c>
      <c r="B35" s="11" t="n"/>
    </row>
    <row r="36">
      <c r="A36" t="inlineStr">
        <is>
          <t>Sueldo de la oferta (S/)</t>
        </is>
      </c>
      <c r="B36" s="11" t="n"/>
    </row>
    <row r="37">
      <c r="A37" t="inlineStr">
        <is>
          <t>Enlace de la oferta</t>
        </is>
      </c>
      <c r="B37" s="11" t="n"/>
    </row>
    <row r="38">
      <c r="A38" t="inlineStr">
        <is>
          <t>Fecha de consulta</t>
        </is>
      </c>
      <c r="B38" s="11" t="n"/>
    </row>
    <row r="39">
      <c r="A39" t="inlineStr">
        <is>
          <t>% del bruto que llega al trabajador</t>
        </is>
      </c>
      <c r="B39" s="1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6" customWidth="1" min="1" max="1"/>
    <col width="40" customWidth="1" min="2" max="2"/>
    <col width="62" customWidth="1" min="3" max="3"/>
    <col width="40" customWidth="1" min="4" max="4"/>
  </cols>
  <sheetData>
    <row r="1">
      <c r="A1" s="1" t="inlineStr">
        <is>
          <t>EXPLICACION DE CADA FORMULA</t>
        </is>
      </c>
    </row>
    <row r="2">
      <c r="A2" t="inlineStr">
        <is>
          <t>Escrita para alguien que no sabe contabilidad. Los ejemplos usan el Caso 3: sueldo 3,000.00, 30 dias, con hijos, AFP Ejemplo, 4 horas al 25%, 4 al 35%, adelanto 200.00.</t>
        </is>
      </c>
    </row>
    <row r="4">
      <c r="A4" s="2" t="inlineStr">
        <is>
          <t>Concepto</t>
        </is>
      </c>
      <c r="B4" s="2" t="inlineStr">
        <is>
          <t>Formula en la hoja</t>
        </is>
      </c>
      <c r="C4" s="2" t="inlineStr">
        <is>
          <t>En palabras</t>
        </is>
      </c>
      <c r="D4" s="2" t="inlineStr">
        <is>
          <t>Ejemplo numerico (Caso 3)</t>
        </is>
      </c>
    </row>
    <row r="5" ht="46" customHeight="1">
      <c r="A5" s="20" t="inlineStr">
        <is>
          <t>Valor hora</t>
        </is>
      </c>
      <c r="B5" s="21" t="inlineStr">
        <is>
          <t>Sueldo basico / 30 / 8</t>
        </is>
      </c>
      <c r="C5" s="21" t="inlineStr">
        <is>
          <t>Cuanto vale una hora de trabajo. Se divide el sueldo entre los 30 dias del mes y luego entre las 8 horas de la jornada. Este numero NO se redondea, porque es un paso intermedio.</t>
        </is>
      </c>
      <c r="D5" s="21" t="inlineStr">
        <is>
          <t>3,000 / 30 / 8 = 12.50</t>
        </is>
      </c>
    </row>
    <row r="6" ht="46" customHeight="1">
      <c r="A6" s="20" t="inlineStr">
        <is>
          <t>Sueldo computable</t>
        </is>
      </c>
      <c r="B6" s="21" t="inlineStr">
        <is>
          <t>ROUND(Sueldo basico / 30 x Dias laborados, 2)</t>
        </is>
      </c>
      <c r="C6" s="21" t="inlineStr">
        <is>
          <t>La parte del sueldo que corresponde a los dias que el trabajador realmente trabajo. Si trabajo el mes completo, es igual al sueldo basico. Las faltas ya estan reflejadas aqui.</t>
        </is>
      </c>
      <c r="D6" s="21" t="inlineStr">
        <is>
          <t>3,000 / 30 x 30 = 3,000.00</t>
        </is>
      </c>
    </row>
    <row r="7" ht="46" customHeight="1">
      <c r="A7" s="20" t="inlineStr">
        <is>
          <t>Asignacion familiar</t>
        </is>
      </c>
      <c r="B7" s="21" t="inlineStr">
        <is>
          <t>IF(Tiene hijos = "SI", 10% de la RMV, 0)</t>
        </is>
      </c>
      <c r="C7" s="21" t="inlineStr">
        <is>
          <t>Monto fijo que recibe el trabajador que tiene hijos. Es el 10% de la remuneracion minima vital. Se paga completo aunque haya trabajado menos dias: NO se prorratea.</t>
        </is>
      </c>
      <c r="D7" s="21" t="inlineStr">
        <is>
          <t>10% x 1,230 = 123.00</t>
        </is>
      </c>
    </row>
    <row r="8" ht="46" customHeight="1">
      <c r="A8" s="20" t="inlineStr">
        <is>
          <t>Horas extras 25%</t>
        </is>
      </c>
      <c r="B8" s="21" t="inlineStr">
        <is>
          <t>ROUND(Valor hora x 1.25 x Horas, 2)</t>
        </is>
      </c>
      <c r="C8" s="21" t="inlineStr">
        <is>
          <t>Las primeras horas trabajadas despues de la jornada se pagan con 25% de recargo. Por eso se multiplica por 1.25, no por 0.25: el 1 es la hora normal y el 0.25 es el recargo.</t>
        </is>
      </c>
      <c r="D8" s="21" t="inlineStr">
        <is>
          <t>12.50 x 1.25 x 4 = 62.50</t>
        </is>
      </c>
    </row>
    <row r="9" ht="46" customHeight="1">
      <c r="A9" s="20" t="inlineStr">
        <is>
          <t>Horas extras 35%</t>
        </is>
      </c>
      <c r="B9" s="21" t="inlineStr">
        <is>
          <t>ROUND(Valor hora x 1.35 x Horas, 2)</t>
        </is>
      </c>
      <c r="C9" s="21" t="inlineStr">
        <is>
          <t>Las horas siguientes se pagan con 35% de recargo, por la misma logica.</t>
        </is>
      </c>
      <c r="D9" s="21" t="inlineStr">
        <is>
          <t>12.50 x 1.35 x 4 = 67.50</t>
        </is>
      </c>
    </row>
    <row r="10" ht="46" customHeight="1">
      <c r="A10" s="20" t="inlineStr">
        <is>
          <t>Total remuneraciones</t>
        </is>
      </c>
      <c r="B10" s="21" t="inlineStr">
        <is>
          <t>SUM(los cuatro conceptos de arriba)</t>
        </is>
      </c>
      <c r="C10" s="21" t="inlineStr">
        <is>
          <t>Todo lo que el trabajador gano en el mes, antes de cualquier descuento. Es la base sobre la que se calculan la pension y EsSalud.</t>
        </is>
      </c>
      <c r="D10" s="21" t="inlineStr">
        <is>
          <t>3,000.00 + 123.00 + 62.50 + 67.50 = 3,253.00</t>
        </is>
      </c>
    </row>
    <row r="11" ht="46" customHeight="1">
      <c r="A11" s="20" t="inlineStr">
        <is>
          <t>ONP</t>
        </is>
      </c>
      <c r="B11" s="21" t="inlineStr">
        <is>
          <t>IF(Sistema = "ONP", ROUND(Total remuneraciones x 13%, 2), 0)</t>
        </is>
      </c>
      <c r="C11" s="21" t="inlineStr">
        <is>
          <t>Si el trabajador esta en el sistema publico de pensiones, se le descuenta el 13% de todo lo que gano. Si esta en una AFP, esta fila queda en 0.00.</t>
        </is>
      </c>
      <c r="D11" s="21" t="inlineStr">
        <is>
          <t>No aplica en el Caso 3 (esta en AFP): 0.00</t>
        </is>
      </c>
    </row>
    <row r="12" ht="46" customHeight="1">
      <c r="A12" s="20" t="inlineStr">
        <is>
          <t>AFP fondo</t>
        </is>
      </c>
      <c r="B12" s="21" t="inlineStr">
        <is>
          <t>IF(Sistema = "AFP", ROUND(Total remuneraciones x 10%, 2), 0)</t>
        </is>
      </c>
      <c r="C12" s="21" t="inlineStr">
        <is>
          <t>El aporte que va a la cuenta individual del trabajador. Es ahorro suyo: no se pierde, es lo que financiara su pension.</t>
        </is>
      </c>
      <c r="D12" s="21" t="inlineStr">
        <is>
          <t>3,253.00 x 10% = 325.30</t>
        </is>
      </c>
    </row>
    <row r="13" ht="46" customHeight="1">
      <c r="A13" s="20" t="inlineStr">
        <is>
          <t>AFP comision</t>
        </is>
      </c>
      <c r="B13" s="21" t="inlineStr">
        <is>
          <t>IF(Sistema = "AFP", ROUND(Total remuneraciones x 1.60%, 2), 0)</t>
        </is>
      </c>
      <c r="C13" s="21" t="inlineStr">
        <is>
          <t>Lo que cobra la AFP por administrar el fondo. Este si es costo: no vuelve al trabajador.</t>
        </is>
      </c>
      <c r="D13" s="21" t="inlineStr">
        <is>
          <t>3,253.00 x 1.60% = 52.048, redondeado 52.05</t>
        </is>
      </c>
    </row>
    <row r="14" ht="46" customHeight="1">
      <c r="A14" s="20" t="inlineStr">
        <is>
          <t>AFP seguro</t>
        </is>
      </c>
      <c r="B14" s="21" t="inlineStr">
        <is>
          <t>IF(Sistema = "AFP", ROUND(Total remuneraciones x 1.35%, 2), 0)</t>
        </is>
      </c>
      <c r="C14" s="21" t="inlineStr">
        <is>
          <t>Prima del seguro de invalidez y sobrevivencia. Tambien es costo.</t>
        </is>
      </c>
      <c r="D14" s="21" t="inlineStr">
        <is>
          <t>3,253.00 x 1.35% = 43.9155, redondeado 43.92</t>
        </is>
      </c>
    </row>
    <row r="15" ht="46" customHeight="1">
      <c r="A15" s="20" t="inlineStr">
        <is>
          <t>Adelantos</t>
        </is>
      </c>
      <c r="B15" s="21" t="inlineStr">
        <is>
          <t>ROUND(Monto ingresado, 2)</t>
        </is>
      </c>
      <c r="C15" s="21" t="inlineStr">
        <is>
          <t>Dinero que el trabajador ya recibio antes de la fecha de pago. Se resta tal cual, sin ningun calculo.</t>
        </is>
      </c>
      <c r="D15" s="21" t="inlineStr">
        <is>
          <t>200.00</t>
        </is>
      </c>
    </row>
    <row r="16" ht="46" customHeight="1">
      <c r="A16" s="20" t="inlineStr">
        <is>
          <t>Total descuentos</t>
        </is>
      </c>
      <c r="B16" s="21" t="inlineStr">
        <is>
          <t>Pension (ONP o AFP) + Adelantos</t>
        </is>
      </c>
      <c r="C16" s="21" t="inlineStr">
        <is>
          <t>Todo lo que se le resta al trabajador. Ojo: EsSalud NO esta aqui, porque lo paga la empresa.</t>
        </is>
      </c>
      <c r="D16" s="21" t="inlineStr">
        <is>
          <t>325.30 + 52.05 + 43.92 + 200.00 = 621.27</t>
        </is>
      </c>
    </row>
    <row r="17" ht="46" customHeight="1">
      <c r="A17" s="20" t="inlineStr">
        <is>
          <t>NETO A PAGAR</t>
        </is>
      </c>
      <c r="B17" s="21" t="inlineStr">
        <is>
          <t>Total remuneraciones - Total descuentos</t>
        </is>
      </c>
      <c r="C17" s="21" t="inlineStr">
        <is>
          <t>El dinero que efectivamente llega al bolsillo del trabajador. Es la razon por la que el sueldo pactado no es lo que se recibe.</t>
        </is>
      </c>
      <c r="D17" s="21" t="inlineStr">
        <is>
          <t>3,253.00 - 621.27 = 2,631.73</t>
        </is>
      </c>
    </row>
    <row r="18" ht="46" customHeight="1">
      <c r="A18" s="20" t="inlineStr">
        <is>
          <t>EsSalud</t>
        </is>
      </c>
      <c r="B18" s="21" t="inlineStr">
        <is>
          <t>ROUND(Total remuneraciones x 9%, 2)</t>
        </is>
      </c>
      <c r="C18" s="21" t="inlineStr">
        <is>
          <t>Aporte al seguro de salud que paga el EMPLEADOR, no el trabajador. Aparece en la boleta en la tercera columna para mostrar el costo real de la empresa, pero nunca se descuenta del neto.</t>
        </is>
      </c>
      <c r="D18" s="21" t="inlineStr">
        <is>
          <t>3,253.00 x 9% = 292.77</t>
        </is>
      </c>
    </row>
    <row r="20">
      <c r="A20" s="7" t="inlineStr">
        <is>
          <t>RESPUESTAS A LAS PREGUNTAS DE ANALISIS</t>
        </is>
      </c>
    </row>
    <row r="21" ht="108" customHeight="1">
      <c r="A21" s="20" t="inlineStr">
        <is>
          <t>1. ONP o AFP</t>
        </is>
      </c>
      <c r="B21" s="21" t="inlineStr">
        <is>
          <t>Con los datos del Caso 3, el neto con ONP es 2,630.11 y con AFP Ejemplo es 2,631.73: la AFP deja S/ 1.62 mas este mes, porque sus tres tasas suman 12.95% contra el 13% de la ONP. Comparar porcentajes no basta: el 10% del fondo AFP va a la cuenta individual del trabajador, o sea sigue siendo su dinero, mientras que comision y seguro son costo puro. La ONP, en cambio, es un fondo comun que exige 20 anos de aportes para dar pension: quien aporta menos tiempo puede quedarse sin nada. La decision depende de la edad, los anos que falten para jubilarse y la rentabilidad del fondo, no del neto de un mes.</t>
        </is>
      </c>
    </row>
    <row r="22" ht="108" customHeight="1">
      <c r="A22" s="20" t="inlineStr">
        <is>
          <t>2. Costo real para la empresa</t>
        </is>
      </c>
      <c r="B22" s="21" t="inlineStr">
        <is>
          <t>En el Caso 3 el trabajador le cuesta a la empresa 3,253.00 de remuneraciones mas 292.77 de EsSalud = S/ 3,545.77. De ese costo, al trabajador le llega 2,631.73 como neto, es decir el 74.22%. Si se considera que los 200.00 de adelanto ya los habia recibido, lo que percibe en el mes equivale al 79.86%. La diferencia se reparte entre su propio fondo de pension, las comisiones de la AFP y el seguro de salud.</t>
        </is>
      </c>
    </row>
    <row r="23" ht="108" customHeight="1">
      <c r="A23" s="20" t="inlineStr">
        <is>
          <t>3. Dias laborados</t>
        </is>
      </c>
      <c r="B23" s="21" t="inlineStr">
        <is>
          <t>En el Caso 2, con 27 dias el neto es 1,516.41; con los 30 dias seria 1,673.01. La diferencia en el bruto es 180.00 pero en el neto solo 156.60, exactamente el 87%. La razon es que la ONP se queda con el 13% de ese incremento: cada sol adicional de remuneracion llega al bolsillo descontado. Ademas la asignacion familiar no cambia, porque es un monto fijo que no depende de los dias trabajados.</t>
        </is>
      </c>
    </row>
    <row r="24" ht="108" customHeight="1">
      <c r="A24" s="20" t="inlineStr">
        <is>
          <t>4. Horas extras</t>
        </is>
      </c>
      <c r="B24" s="21" t="inlineStr">
        <is>
          <t>En el Caso 3 las horas extras suman 62.50 + 67.50 = 130.00 sobre un total de remuneraciones de 3,253.00, o sea el 4.00%. Son 8 horas de sobretiempo que apenas mueven el total, aunque se paguen con recargo.</t>
        </is>
      </c>
    </row>
    <row r="25" ht="108" customHeight="1">
      <c r="A25" s="20" t="inlineStr">
        <is>
          <t>5. Con datos reales</t>
        </is>
      </c>
      <c r="B25" s="21" t="inlineStr">
        <is>
          <t>Cada integrante toma un sueldo de una oferta laboral publicada, guarda el enlace y la fecha de consulta, y arma su boleta en la hoja Casos. Luego compara que porcentaje del bruto llega al trabajador con el de dos companeros que usaron otros sueldos. El sueldo debe ser igual o mayor que la RMV y las personas y empresas son ficticias.</t>
        </is>
      </c>
    </row>
  </sheetData>
  <mergeCells count="5">
    <mergeCell ref="B23:D23"/>
    <mergeCell ref="B22:D22"/>
    <mergeCell ref="B21:D21"/>
    <mergeCell ref="B25:D25"/>
    <mergeCell ref="B24:D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2026-10-29T13:32:12Z</dcterms:created>
  <dcterms:modified xsi:type="dcterms:W3CDTF">2026-10-29T13:32:12Z</dcterms:modified>
</cp:coreProperties>
</file>